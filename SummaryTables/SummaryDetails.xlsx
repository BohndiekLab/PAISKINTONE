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lse/Documents/Code/CambridgeBits/PAISKINTONE/SummaryTables/"/>
    </mc:Choice>
  </mc:AlternateContent>
  <xr:revisionPtr revIDLastSave="0" documentId="13_ncr:1_{DD6EE34C-4D13-2D46-A92D-9C9D93EBD2E2}" xr6:coauthVersionLast="47" xr6:coauthVersionMax="47" xr10:uidLastSave="{00000000-0000-0000-0000-000000000000}"/>
  <bookViews>
    <workbookView xWindow="4940" yWindow="680" windowWidth="24460" windowHeight="16700" xr2:uid="{7C2D9771-1FEF-E34D-BDCA-98FAF74C3E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F9" i="2"/>
  <c r="F3" i="2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2" i="2" a="1"/>
  <c r="F2" i="2" s="1"/>
  <c r="E3" i="2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2" i="2" a="1"/>
  <c r="E2" i="2" s="1"/>
  <c r="D9" i="2"/>
  <c r="C9" i="2"/>
  <c r="C8" i="2" a="1"/>
  <c r="C8" i="2" s="1"/>
  <c r="D8" i="2" a="1"/>
  <c r="D8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2" i="2" a="1"/>
  <c r="C2" i="2" s="1"/>
  <c r="D3" i="2" a="1"/>
  <c r="D3" i="2" s="1"/>
  <c r="D4" i="2" a="1"/>
  <c r="D4" i="2" s="1"/>
  <c r="D5" i="2" a="1"/>
  <c r="D5" i="2" s="1"/>
  <c r="D6" i="2" a="1"/>
  <c r="D6" i="2" s="1"/>
  <c r="D7" i="2" a="1"/>
  <c r="D7" i="2" s="1"/>
  <c r="D2" i="2" a="1"/>
  <c r="D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<sst xmlns="http://schemas.openxmlformats.org/spreadsheetml/2006/main" count="140" uniqueCount="58">
  <si>
    <t>SkinID</t>
  </si>
  <si>
    <t>Gender</t>
  </si>
  <si>
    <t>Fitzpatrick Type</t>
  </si>
  <si>
    <t>Male</t>
  </si>
  <si>
    <t>BMI</t>
  </si>
  <si>
    <t>Female</t>
  </si>
  <si>
    <t>Vitiligo</t>
  </si>
  <si>
    <t>Mean</t>
  </si>
  <si>
    <t>SD</t>
  </si>
  <si>
    <t>SKIN01</t>
  </si>
  <si>
    <t>SKIN02</t>
  </si>
  <si>
    <t>SKIN03</t>
  </si>
  <si>
    <t>SKIN04</t>
  </si>
  <si>
    <t>SKIN05</t>
  </si>
  <si>
    <t>SKIN06</t>
  </si>
  <si>
    <t>SKIN07</t>
  </si>
  <si>
    <t>SKIN08</t>
  </si>
  <si>
    <t>SKIN09</t>
  </si>
  <si>
    <t>SKIN10</t>
  </si>
  <si>
    <t>SKIN11</t>
  </si>
  <si>
    <t>SKIN12</t>
  </si>
  <si>
    <t>SKIN13</t>
  </si>
  <si>
    <t>SKIN14</t>
  </si>
  <si>
    <t>SKIN15</t>
  </si>
  <si>
    <t>SKIN16</t>
  </si>
  <si>
    <t>SKIN17</t>
  </si>
  <si>
    <t>SKIN18</t>
  </si>
  <si>
    <t>SKIN19</t>
  </si>
  <si>
    <t>SKIN20</t>
  </si>
  <si>
    <t>SKIN21</t>
  </si>
  <si>
    <t>SKIN22</t>
  </si>
  <si>
    <t>SKIN23</t>
  </si>
  <si>
    <t>SKIN24</t>
  </si>
  <si>
    <t>SKIN25</t>
  </si>
  <si>
    <t>SKIN26</t>
  </si>
  <si>
    <t>SKIN28</t>
  </si>
  <si>
    <t>SKIN29</t>
  </si>
  <si>
    <t>SKIN30</t>
  </si>
  <si>
    <t>SKIN31</t>
  </si>
  <si>
    <t>SKIN32</t>
  </si>
  <si>
    <t>SKIN33</t>
  </si>
  <si>
    <t>SKIN34</t>
  </si>
  <si>
    <t>SKIN35</t>
  </si>
  <si>
    <t>SKIN36</t>
  </si>
  <si>
    <t>SKIN37</t>
  </si>
  <si>
    <t>SKIN38</t>
  </si>
  <si>
    <t>SKIN39</t>
  </si>
  <si>
    <t>SKIN40</t>
  </si>
  <si>
    <t>SKIN41</t>
  </si>
  <si>
    <t>SKIN42</t>
  </si>
  <si>
    <t>SKIN43</t>
  </si>
  <si>
    <t>Age range</t>
  </si>
  <si>
    <t>20-29</t>
  </si>
  <si>
    <t>30-39</t>
  </si>
  <si>
    <t>40-49</t>
  </si>
  <si>
    <t>70-79</t>
  </si>
  <si>
    <t>50-59</t>
  </si>
  <si>
    <t>60-69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</si>
</sst>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4121-CCA4-5441-B920-F9A38F491F8A}">
  <dimension ref="A1:E43"/>
  <sheetViews>
    <sheetView tabSelected="1" topLeftCell="A8" workbookViewId="0">
      <selection activeCell="B44" sqref="B44"/>
    </sheetView>
  </sheetViews>
  <sheetFormatPr baseColWidth="10" defaultRowHeight="16" x14ac:dyDescent="0.2"/>
  <cols>
    <col min="1" max="5" width="19.33203125" customWidth="1"/>
  </cols>
  <sheetData>
    <row r="1" spans="1:5" x14ac:dyDescent="0.2">
      <c r="A1" s="1" t="s">
        <v>0</v>
      </c>
      <c r="B1" s="1" t="s">
        <v>51</v>
      </c>
      <c r="C1" s="1" t="s">
        <v>1</v>
      </c>
      <c r="D1" s="1" t="s">
        <v>2</v>
      </c>
      <c r="E1" s="1" t="s">
        <v>4</v>
      </c>
    </row>
    <row r="2" spans="1:5" x14ac:dyDescent="0.2">
      <c r="A2" t="s">
        <v>9</v>
      </c>
      <c r="B2" t="s">
        <v>52</v>
      </c>
      <c r="C2" t="s">
        <v>3</v>
      </c>
      <c r="D2">
        <v>2</v>
      </c>
      <c r="E2">
        <v>25.5</v>
      </c>
    </row>
    <row r="3" spans="1:5" x14ac:dyDescent="0.2">
      <c r="A3" t="s">
        <v>10</v>
      </c>
      <c r="B3" t="s">
        <v>53</v>
      </c>
      <c r="C3" t="s">
        <v>3</v>
      </c>
      <c r="D3">
        <v>2</v>
      </c>
      <c r="E3">
        <v>29.9</v>
      </c>
    </row>
    <row r="4" spans="1:5" x14ac:dyDescent="0.2">
      <c r="A4" t="s">
        <v>11</v>
      </c>
      <c r="B4" t="s">
        <v>54</v>
      </c>
      <c r="C4" t="s">
        <v>3</v>
      </c>
      <c r="D4">
        <v>3</v>
      </c>
      <c r="E4">
        <v>27.5</v>
      </c>
    </row>
    <row r="5" spans="1:5" x14ac:dyDescent="0.2">
      <c r="A5" t="s">
        <v>12</v>
      </c>
      <c r="B5" t="s">
        <v>52</v>
      </c>
      <c r="C5" t="s">
        <v>5</v>
      </c>
      <c r="D5">
        <v>3</v>
      </c>
      <c r="E5">
        <v>22</v>
      </c>
    </row>
    <row r="6" spans="1:5" x14ac:dyDescent="0.2">
      <c r="A6" t="s">
        <v>13</v>
      </c>
      <c r="B6" t="s">
        <v>52</v>
      </c>
      <c r="C6" t="s">
        <v>5</v>
      </c>
      <c r="D6">
        <v>3</v>
      </c>
      <c r="E6">
        <v>21.5</v>
      </c>
    </row>
    <row r="7" spans="1:5" x14ac:dyDescent="0.2">
      <c r="A7" t="s">
        <v>14</v>
      </c>
      <c r="B7" t="s">
        <v>55</v>
      </c>
      <c r="C7" t="s">
        <v>5</v>
      </c>
      <c r="D7">
        <v>2</v>
      </c>
      <c r="E7">
        <v>21.6</v>
      </c>
    </row>
    <row r="8" spans="1:5" x14ac:dyDescent="0.2">
      <c r="A8" t="s">
        <v>15</v>
      </c>
      <c r="B8" t="s">
        <v>53</v>
      </c>
      <c r="C8" t="s">
        <v>3</v>
      </c>
      <c r="D8">
        <v>3</v>
      </c>
      <c r="E8">
        <v>27.7</v>
      </c>
    </row>
    <row r="9" spans="1:5" x14ac:dyDescent="0.2">
      <c r="A9" t="s">
        <v>16</v>
      </c>
      <c r="B9" t="s">
        <v>53</v>
      </c>
      <c r="C9" t="s">
        <v>3</v>
      </c>
      <c r="D9">
        <v>4</v>
      </c>
      <c r="E9">
        <v>24.6</v>
      </c>
    </row>
    <row r="10" spans="1:5" x14ac:dyDescent="0.2">
      <c r="A10" t="s">
        <v>17</v>
      </c>
      <c r="B10" t="s">
        <v>56</v>
      </c>
      <c r="C10" t="s">
        <v>5</v>
      </c>
      <c r="D10">
        <v>4</v>
      </c>
      <c r="E10">
        <v>21.9</v>
      </c>
    </row>
    <row r="11" spans="1:5" x14ac:dyDescent="0.2">
      <c r="A11" t="s">
        <v>18</v>
      </c>
      <c r="B11" t="s">
        <v>57</v>
      </c>
      <c r="C11" t="s">
        <v>5</v>
      </c>
      <c r="D11">
        <v>2</v>
      </c>
      <c r="E11">
        <v>26.6</v>
      </c>
    </row>
    <row r="12" spans="1:5" x14ac:dyDescent="0.2">
      <c r="A12" t="s">
        <v>19</v>
      </c>
      <c r="B12" s="3" t="s">
        <v>56</v>
      </c>
      <c r="C12" t="s">
        <v>5</v>
      </c>
      <c r="D12">
        <v>2</v>
      </c>
      <c r="E12">
        <v>18.5</v>
      </c>
    </row>
    <row r="13" spans="1:5" x14ac:dyDescent="0.2">
      <c r="A13" t="s">
        <v>20</v>
      </c>
      <c r="B13" t="s">
        <v>55</v>
      </c>
      <c r="C13" t="s">
        <v>5</v>
      </c>
      <c r="D13">
        <v>1</v>
      </c>
      <c r="E13">
        <v>19.100000000000001</v>
      </c>
    </row>
    <row r="14" spans="1:5" x14ac:dyDescent="0.2">
      <c r="A14" t="s">
        <v>21</v>
      </c>
      <c r="B14" t="s">
        <v>52</v>
      </c>
      <c r="C14" t="s">
        <v>3</v>
      </c>
      <c r="D14">
        <v>2</v>
      </c>
      <c r="E14">
        <v>25.2</v>
      </c>
    </row>
    <row r="15" spans="1:5" x14ac:dyDescent="0.2">
      <c r="A15" t="s">
        <v>22</v>
      </c>
      <c r="B15" t="s">
        <v>53</v>
      </c>
      <c r="C15" t="s">
        <v>5</v>
      </c>
      <c r="D15">
        <v>4</v>
      </c>
      <c r="E15">
        <v>27.2</v>
      </c>
    </row>
    <row r="16" spans="1:5" x14ac:dyDescent="0.2">
      <c r="A16" t="s">
        <v>23</v>
      </c>
      <c r="B16" t="s">
        <v>53</v>
      </c>
      <c r="C16" t="s">
        <v>5</v>
      </c>
      <c r="D16">
        <v>4</v>
      </c>
      <c r="E16">
        <v>24.2</v>
      </c>
    </row>
    <row r="17" spans="1:5" x14ac:dyDescent="0.2">
      <c r="A17" t="s">
        <v>24</v>
      </c>
      <c r="B17" t="s">
        <v>55</v>
      </c>
      <c r="C17" t="s">
        <v>5</v>
      </c>
      <c r="D17">
        <v>1</v>
      </c>
      <c r="E17">
        <v>20.2</v>
      </c>
    </row>
    <row r="18" spans="1:5" x14ac:dyDescent="0.2">
      <c r="A18" t="s">
        <v>25</v>
      </c>
      <c r="B18" t="s">
        <v>52</v>
      </c>
      <c r="C18" t="s">
        <v>5</v>
      </c>
      <c r="D18">
        <v>3</v>
      </c>
      <c r="E18">
        <v>19.7</v>
      </c>
    </row>
    <row r="19" spans="1:5" x14ac:dyDescent="0.2">
      <c r="A19" t="s">
        <v>26</v>
      </c>
      <c r="B19" t="s">
        <v>53</v>
      </c>
      <c r="C19" t="s">
        <v>5</v>
      </c>
      <c r="D19">
        <v>3</v>
      </c>
      <c r="E19">
        <v>23.2</v>
      </c>
    </row>
    <row r="20" spans="1:5" x14ac:dyDescent="0.2">
      <c r="A20" t="s">
        <v>27</v>
      </c>
      <c r="B20" t="s">
        <v>53</v>
      </c>
      <c r="C20" t="s">
        <v>5</v>
      </c>
      <c r="D20">
        <v>5</v>
      </c>
      <c r="E20">
        <v>27.5</v>
      </c>
    </row>
    <row r="21" spans="1:5" x14ac:dyDescent="0.2">
      <c r="A21" t="s">
        <v>28</v>
      </c>
      <c r="B21" t="s">
        <v>56</v>
      </c>
      <c r="C21" t="s">
        <v>3</v>
      </c>
      <c r="D21">
        <v>1</v>
      </c>
      <c r="E21">
        <v>23.1</v>
      </c>
    </row>
    <row r="22" spans="1:5" x14ac:dyDescent="0.2">
      <c r="A22" t="s">
        <v>29</v>
      </c>
      <c r="B22" t="s">
        <v>52</v>
      </c>
      <c r="C22" t="s">
        <v>5</v>
      </c>
      <c r="D22">
        <v>1</v>
      </c>
      <c r="E22">
        <v>22</v>
      </c>
    </row>
    <row r="23" spans="1:5" x14ac:dyDescent="0.2">
      <c r="A23" t="s">
        <v>30</v>
      </c>
      <c r="B23" t="s">
        <v>52</v>
      </c>
      <c r="C23" t="s">
        <v>3</v>
      </c>
      <c r="D23">
        <v>4</v>
      </c>
      <c r="E23">
        <v>22.6</v>
      </c>
    </row>
    <row r="24" spans="1:5" x14ac:dyDescent="0.2">
      <c r="A24" t="s">
        <v>31</v>
      </c>
      <c r="B24" t="s">
        <v>52</v>
      </c>
      <c r="C24" t="s">
        <v>5</v>
      </c>
      <c r="D24">
        <v>1</v>
      </c>
      <c r="E24">
        <v>21.9</v>
      </c>
    </row>
    <row r="25" spans="1:5" x14ac:dyDescent="0.2">
      <c r="A25" t="s">
        <v>32</v>
      </c>
      <c r="B25" t="s">
        <v>56</v>
      </c>
      <c r="C25" t="s">
        <v>5</v>
      </c>
      <c r="D25">
        <v>1</v>
      </c>
      <c r="E25">
        <v>20.8</v>
      </c>
    </row>
    <row r="26" spans="1:5" x14ac:dyDescent="0.2">
      <c r="A26" t="s">
        <v>33</v>
      </c>
      <c r="B26" t="s">
        <v>52</v>
      </c>
      <c r="C26" t="s">
        <v>3</v>
      </c>
      <c r="D26">
        <v>4</v>
      </c>
      <c r="E26">
        <v>19.600000000000001</v>
      </c>
    </row>
    <row r="27" spans="1:5" x14ac:dyDescent="0.2">
      <c r="A27" t="s">
        <v>34</v>
      </c>
      <c r="B27" t="s">
        <v>57</v>
      </c>
      <c r="C27" t="s">
        <v>3</v>
      </c>
      <c r="D27">
        <v>5</v>
      </c>
      <c r="E27">
        <v>24.5</v>
      </c>
    </row>
    <row r="28" spans="1:5" x14ac:dyDescent="0.2">
      <c r="A28" t="s">
        <v>35</v>
      </c>
      <c r="B28" t="s">
        <v>55</v>
      </c>
      <c r="C28" t="s">
        <v>5</v>
      </c>
      <c r="D28" t="s">
        <v>6</v>
      </c>
      <c r="E28">
        <v>28.7</v>
      </c>
    </row>
    <row r="29" spans="1:5" x14ac:dyDescent="0.2">
      <c r="A29" t="s">
        <v>36</v>
      </c>
      <c r="B29" t="s">
        <v>54</v>
      </c>
      <c r="C29" t="s">
        <v>3</v>
      </c>
      <c r="D29">
        <v>6</v>
      </c>
      <c r="E29">
        <v>22.5</v>
      </c>
    </row>
    <row r="30" spans="1:5" x14ac:dyDescent="0.2">
      <c r="A30" t="s">
        <v>37</v>
      </c>
      <c r="B30" t="s">
        <v>54</v>
      </c>
      <c r="C30" t="s">
        <v>5</v>
      </c>
      <c r="D30" t="s">
        <v>6</v>
      </c>
      <c r="E30">
        <v>20.3</v>
      </c>
    </row>
    <row r="31" spans="1:5" x14ac:dyDescent="0.2">
      <c r="A31" t="s">
        <v>38</v>
      </c>
      <c r="B31" t="s">
        <v>53</v>
      </c>
      <c r="C31" t="s">
        <v>3</v>
      </c>
      <c r="D31">
        <v>6</v>
      </c>
      <c r="E31">
        <v>20.9</v>
      </c>
    </row>
    <row r="32" spans="1:5" x14ac:dyDescent="0.2">
      <c r="A32" t="s">
        <v>39</v>
      </c>
      <c r="B32" t="s">
        <v>54</v>
      </c>
      <c r="C32" t="s">
        <v>3</v>
      </c>
      <c r="D32">
        <v>5</v>
      </c>
      <c r="E32">
        <v>25.1</v>
      </c>
    </row>
    <row r="33" spans="1:5" x14ac:dyDescent="0.2">
      <c r="A33" t="s">
        <v>40</v>
      </c>
      <c r="B33" t="s">
        <v>54</v>
      </c>
      <c r="C33" t="s">
        <v>3</v>
      </c>
      <c r="D33" t="s">
        <v>6</v>
      </c>
      <c r="E33">
        <v>28.5</v>
      </c>
    </row>
    <row r="34" spans="1:5" x14ac:dyDescent="0.2">
      <c r="A34" t="s">
        <v>41</v>
      </c>
      <c r="B34" t="s">
        <v>57</v>
      </c>
      <c r="C34" t="s">
        <v>5</v>
      </c>
      <c r="D34" t="s">
        <v>6</v>
      </c>
      <c r="E34">
        <v>28.3</v>
      </c>
    </row>
    <row r="35" spans="1:5" x14ac:dyDescent="0.2">
      <c r="A35" t="s">
        <v>42</v>
      </c>
      <c r="B35" t="s">
        <v>54</v>
      </c>
      <c r="C35" t="s">
        <v>5</v>
      </c>
      <c r="D35">
        <v>6</v>
      </c>
      <c r="E35">
        <v>26.4</v>
      </c>
    </row>
    <row r="36" spans="1:5" x14ac:dyDescent="0.2">
      <c r="A36" t="s">
        <v>43</v>
      </c>
      <c r="B36" t="s">
        <v>55</v>
      </c>
      <c r="C36" t="s">
        <v>3</v>
      </c>
      <c r="D36" t="s">
        <v>6</v>
      </c>
      <c r="E36">
        <v>20.2</v>
      </c>
    </row>
    <row r="37" spans="1:5" x14ac:dyDescent="0.2">
      <c r="A37" t="s">
        <v>44</v>
      </c>
      <c r="B37" t="s">
        <v>57</v>
      </c>
      <c r="C37" t="s">
        <v>5</v>
      </c>
      <c r="D37" t="s">
        <v>6</v>
      </c>
      <c r="E37">
        <v>23.9</v>
      </c>
    </row>
    <row r="38" spans="1:5" x14ac:dyDescent="0.2">
      <c r="A38" t="s">
        <v>45</v>
      </c>
      <c r="B38" t="s">
        <v>52</v>
      </c>
      <c r="C38" t="s">
        <v>5</v>
      </c>
      <c r="D38">
        <v>6</v>
      </c>
      <c r="E38">
        <v>27.5</v>
      </c>
    </row>
    <row r="39" spans="1:5" x14ac:dyDescent="0.2">
      <c r="A39" t="s">
        <v>46</v>
      </c>
      <c r="B39" t="s">
        <v>52</v>
      </c>
      <c r="C39" t="s">
        <v>3</v>
      </c>
      <c r="D39">
        <v>5</v>
      </c>
      <c r="E39">
        <v>24.5</v>
      </c>
    </row>
    <row r="40" spans="1:5" x14ac:dyDescent="0.2">
      <c r="A40" t="s">
        <v>47</v>
      </c>
      <c r="B40" t="s">
        <v>52</v>
      </c>
      <c r="C40" t="s">
        <v>3</v>
      </c>
      <c r="D40">
        <v>6</v>
      </c>
      <c r="E40">
        <v>25.8</v>
      </c>
    </row>
    <row r="41" spans="1:5" x14ac:dyDescent="0.2">
      <c r="A41" t="s">
        <v>48</v>
      </c>
      <c r="B41" t="s">
        <v>52</v>
      </c>
      <c r="C41" t="s">
        <v>3</v>
      </c>
      <c r="D41">
        <v>6</v>
      </c>
      <c r="E41">
        <v>19.600000000000001</v>
      </c>
    </row>
    <row r="42" spans="1:5" x14ac:dyDescent="0.2">
      <c r="A42" t="s">
        <v>49</v>
      </c>
      <c r="B42" t="s">
        <v>52</v>
      </c>
      <c r="C42" t="s">
        <v>5</v>
      </c>
      <c r="D42">
        <v>5</v>
      </c>
      <c r="E42">
        <v>20.7</v>
      </c>
    </row>
    <row r="43" spans="1:5" x14ac:dyDescent="0.2">
      <c r="A43" t="s">
        <v>50</v>
      </c>
      <c r="B43" t="s">
        <v>53</v>
      </c>
      <c r="C43" t="s">
        <v>5</v>
      </c>
      <c r="D43">
        <v>5</v>
      </c>
      <c r="E43">
        <v>20.2</v>
      </c>
    </row>
  </sheetData>
  <sortState xmlns:xlrd2="http://schemas.microsoft.com/office/spreadsheetml/2017/richdata2" ref="A2:E32">
    <sortCondition ref="A2:A3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BF15-B3EA-634D-B090-55205EE65E6A}">
  <dimension ref="B1:F9"/>
  <sheetViews>
    <sheetView workbookViewId="0">
      <selection activeCell="E12" sqref="E12"/>
    </sheetView>
  </sheetViews>
  <sheetFormatPr baseColWidth="10" defaultRowHeight="16" x14ac:dyDescent="0.2"/>
  <cols>
    <col min="3" max="4" width="11.6640625" bestFit="1" customWidth="1"/>
  </cols>
  <sheetData>
    <row r="1" spans="2:6" x14ac:dyDescent="0.2">
      <c r="C1" t="s">
        <v>7</v>
      </c>
      <c r="D1" t="s">
        <v>8</v>
      </c>
    </row>
    <row r="2" spans="2:6" x14ac:dyDescent="0.2">
      <c r="B2">
        <v>1</v>
      </c>
      <c r="C2" s="2" t="e" cm="1">
        <f t="array" ref="C2">AVERAGE(IF(Sheet1!D:D=Sheet2!B2,Sheet1!B:B))</f>
        <v>#DIV/0!</v>
      </c>
      <c r="D2" s="2" t="e" cm="1">
        <f t="array" ref="D2">_xlfn.STDEV.S(IF(Sheet1!$D$2:$D$32=Sheet2!B2,Sheet1!$B$2:$B$32))</f>
        <v>#DIV/0!</v>
      </c>
      <c r="E2" cm="1">
        <f t="array" ref="E2">MIN(IF(Sheet1!$D$2:$D$32=Sheet2!B2,Sheet1!$B$2:$B$32))</f>
        <v>0</v>
      </c>
      <c r="F2" cm="1">
        <f t="array" ref="F2">MAX(IF(Sheet1!$D$2:$D$32=Sheet2!B2,Sheet1!$B$2:$B$32))</f>
        <v>0</v>
      </c>
    </row>
    <row r="3" spans="2:6" x14ac:dyDescent="0.2">
      <c r="B3">
        <v>2</v>
      </c>
      <c r="C3" s="2" t="e" cm="1">
        <f t="array" ref="C3">AVERAGE(IF(Sheet1!D:D=Sheet2!B3,Sheet1!B:B))</f>
        <v>#DIV/0!</v>
      </c>
      <c r="D3" s="2" t="e" cm="1">
        <f t="array" ref="D3">_xlfn.STDEV.S(IF(Sheet1!$D$2:$D$32=Sheet2!B3,Sheet1!$B$2:$B$32))</f>
        <v>#DIV/0!</v>
      </c>
      <c r="E3" cm="1">
        <f t="array" ref="E3">MIN(IF(Sheet1!$D$2:$D$32=Sheet2!B3,Sheet1!$B$2:$B$32))</f>
        <v>0</v>
      </c>
      <c r="F3" cm="1">
        <f t="array" ref="F3">MAX(IF(Sheet1!$D$2:$D$32=Sheet2!B3,Sheet1!$B$2:$B$32))</f>
        <v>0</v>
      </c>
    </row>
    <row r="4" spans="2:6" x14ac:dyDescent="0.2">
      <c r="B4">
        <v>3</v>
      </c>
      <c r="C4" s="2" t="e" cm="1">
        <f t="array" ref="C4">AVERAGE(IF(Sheet1!D:D=Sheet2!B4,Sheet1!B:B))</f>
        <v>#DIV/0!</v>
      </c>
      <c r="D4" s="2" t="e" cm="1">
        <f t="array" ref="D4">_xlfn.STDEV.S(IF(Sheet1!$D$2:$D$32=Sheet2!B4,Sheet1!$B$2:$B$32))</f>
        <v>#DIV/0!</v>
      </c>
      <c r="E4" cm="1">
        <f t="array" ref="E4">MIN(IF(Sheet1!$D$2:$D$32=Sheet2!B4,Sheet1!$B$2:$B$32))</f>
        <v>0</v>
      </c>
      <c r="F4" cm="1">
        <f t="array" ref="F4">MAX(IF(Sheet1!$D$2:$D$32=Sheet2!B4,Sheet1!$B$2:$B$32))</f>
        <v>0</v>
      </c>
    </row>
    <row r="5" spans="2:6" x14ac:dyDescent="0.2">
      <c r="B5">
        <v>4</v>
      </c>
      <c r="C5" s="2" t="e" cm="1">
        <f t="array" ref="C5">AVERAGE(IF(Sheet1!D:D=Sheet2!B5,Sheet1!B:B))</f>
        <v>#DIV/0!</v>
      </c>
      <c r="D5" s="2" t="e" cm="1">
        <f t="array" ref="D5">_xlfn.STDEV.S(IF(Sheet1!$D$2:$D$32=Sheet2!B5,Sheet1!$B$2:$B$32))</f>
        <v>#DIV/0!</v>
      </c>
      <c r="E5" cm="1">
        <f t="array" ref="E5">MIN(IF(Sheet1!$D$2:$D$32=Sheet2!B5,Sheet1!$B$2:$B$32))</f>
        <v>0</v>
      </c>
      <c r="F5" cm="1">
        <f t="array" ref="F5">MAX(IF(Sheet1!$D$2:$D$32=Sheet2!B5,Sheet1!$B$2:$B$32))</f>
        <v>0</v>
      </c>
    </row>
    <row r="6" spans="2:6" x14ac:dyDescent="0.2">
      <c r="B6">
        <v>5</v>
      </c>
      <c r="C6" s="2" t="e" cm="1">
        <f t="array" ref="C6">AVERAGE(IF(Sheet1!D:D=Sheet2!B6,Sheet1!B:B))</f>
        <v>#DIV/0!</v>
      </c>
      <c r="D6" s="2" t="e" cm="1">
        <f t="array" ref="D6">_xlfn.STDEV.S(IF(Sheet1!$D$2:$D$32=Sheet2!B6,Sheet1!$B$2:$B$32))</f>
        <v>#DIV/0!</v>
      </c>
      <c r="E6" cm="1">
        <f t="array" ref="E6">MIN(IF(Sheet1!$D$2:$D$32=Sheet2!B6,Sheet1!$B$2:$B$32))</f>
        <v>0</v>
      </c>
      <c r="F6" cm="1">
        <f t="array" ref="F6">MAX(IF(Sheet1!$D$2:$D$32=Sheet2!B6,Sheet1!$B$2:$B$32))</f>
        <v>0</v>
      </c>
    </row>
    <row r="7" spans="2:6" x14ac:dyDescent="0.2">
      <c r="B7">
        <v>6</v>
      </c>
      <c r="C7" s="2" t="e" cm="1">
        <f t="array" ref="C7">AVERAGE(IF(Sheet1!D:D=Sheet2!B7,Sheet1!B:B))</f>
        <v>#DIV/0!</v>
      </c>
      <c r="D7" s="2" t="e" cm="1">
        <f t="array" ref="D7">_xlfn.STDEV.S(IF(Sheet1!$D$2:$D$32=Sheet2!B7,Sheet1!$B$2:$B$32))</f>
        <v>#DIV/0!</v>
      </c>
      <c r="E7" cm="1">
        <f t="array" ref="E7">MIN(IF(Sheet1!$D$2:$D$32=Sheet2!B7,Sheet1!$B$2:$B$32))</f>
        <v>0</v>
      </c>
      <c r="F7" cm="1">
        <f t="array" ref="F7">MAX(IF(Sheet1!$D$2:$D$32=Sheet2!B7,Sheet1!$B$2:$B$32))</f>
        <v>0</v>
      </c>
    </row>
    <row r="8" spans="2:6" x14ac:dyDescent="0.2">
      <c r="B8" t="s">
        <v>6</v>
      </c>
      <c r="C8" s="2" t="e" cm="1">
        <f t="array" ref="C8">AVERAGE(IF(Sheet1!D:D=Sheet2!B8,Sheet1!B:B))</f>
        <v>#DIV/0!</v>
      </c>
      <c r="D8" s="2" t="e" cm="1">
        <f t="array" ref="D8">_xlfn.STDEV.S(IF(Sheet1!$D$2:$D$32=Sheet2!B8,Sheet1!$B$2:$B$32))</f>
        <v>#DIV/0!</v>
      </c>
      <c r="E8" cm="1">
        <f t="array" ref="E8">MIN(IF(Sheet1!$D$2:$D$32=Sheet2!B8,Sheet1!$B$2:$B$32))</f>
        <v>0</v>
      </c>
      <c r="F8" cm="1">
        <f t="array" ref="F8">MAX(IF(Sheet1!$D$2:$D$32=Sheet2!B8,Sheet1!$B$2:$B$32))</f>
        <v>0</v>
      </c>
    </row>
    <row r="9" spans="2:6" x14ac:dyDescent="0.2">
      <c r="C9" s="2" t="e">
        <f>AVERAGE(Sheet1!B:B)</f>
        <v>#DIV/0!</v>
      </c>
      <c r="D9" s="2" t="e">
        <f>_xlfn.STDEV.S(Sheet1!$B$2:$B$32)</f>
        <v>#DIV/0!</v>
      </c>
      <c r="E9">
        <f>MIN(Sheet1!B:B)</f>
        <v>0</v>
      </c>
      <c r="F9">
        <f>MAX(Sheet1!B:B)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Else, Thomas</cp:lastModifiedBy>
  <dcterms:created xsi:type="dcterms:W3CDTF">2023-10-04T14:15:35Z</dcterms:created>
  <dcterms:modified xsi:type="dcterms:W3CDTF">2026-05-19T10:58:41Z</dcterms:modified>
</cp:coreProperties>
</file>